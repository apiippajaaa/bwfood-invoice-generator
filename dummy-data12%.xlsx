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65E46FA5-C4CC-4C21-9961-22AFE131AE1E}" xr6:coauthVersionLast="47" xr6:coauthVersionMax="47" xr10:uidLastSave="{00000000-0000-0000-0000-000000000000}"/>
  <bookViews>
    <workbookView xWindow="-120" yWindow="-120" windowWidth="20730" windowHeight="11160" xr2:uid="{D711D406-EE5B-49B2-886B-7E3596B218D5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2" i="1" l="1"/>
  <c r="P12" i="1" s="1"/>
  <c r="O6" i="1"/>
  <c r="Q6" i="1" s="1"/>
  <c r="R6" i="1" s="1"/>
  <c r="S6" i="1" s="1"/>
  <c r="T6" i="1" s="1"/>
  <c r="O7" i="1"/>
  <c r="Q7" i="1" s="1"/>
  <c r="R7" i="1" s="1"/>
  <c r="S7" i="1" s="1"/>
  <c r="T7" i="1" s="1"/>
  <c r="O8" i="1"/>
  <c r="Q8" i="1" s="1"/>
  <c r="R8" i="1" s="1"/>
  <c r="S8" i="1" s="1"/>
  <c r="O9" i="1"/>
  <c r="Q9" i="1" s="1"/>
  <c r="R9" i="1" s="1"/>
  <c r="S9" i="1" s="1"/>
  <c r="T9" i="1" s="1"/>
  <c r="O10" i="1"/>
  <c r="Q10" i="1" s="1"/>
  <c r="R10" i="1" s="1"/>
  <c r="S10" i="1" s="1"/>
  <c r="T10" i="1" s="1"/>
  <c r="O11" i="1"/>
  <c r="Q11" i="1" s="1"/>
  <c r="R11" i="1" s="1"/>
  <c r="S11" i="1" s="1"/>
  <c r="T11" i="1" s="1"/>
  <c r="O13" i="1"/>
  <c r="O14" i="1"/>
  <c r="Q14" i="1" s="1"/>
  <c r="R14" i="1" s="1"/>
  <c r="S14" i="1" s="1"/>
  <c r="T14" i="1" s="1"/>
  <c r="O15" i="1"/>
  <c r="Q15" i="1" s="1"/>
  <c r="R15" i="1" s="1"/>
  <c r="S15" i="1" s="1"/>
  <c r="T15" i="1" s="1"/>
  <c r="O16" i="1"/>
  <c r="Q16" i="1" s="1"/>
  <c r="R16" i="1" s="1"/>
  <c r="S16" i="1" s="1"/>
  <c r="T16" i="1" s="1"/>
  <c r="O5" i="1"/>
  <c r="Q5" i="1" s="1"/>
  <c r="R5" i="1" l="1"/>
  <c r="S5" i="1" s="1"/>
  <c r="T5" i="1" s="1"/>
  <c r="P13" i="1"/>
  <c r="Q13" i="1" s="1"/>
  <c r="R13" i="1" s="1"/>
  <c r="S13" i="1" s="1"/>
  <c r="T13" i="1" s="1"/>
  <c r="Q12" i="1"/>
  <c r="T8" i="1"/>
  <c r="R12" i="1" l="1"/>
  <c r="S12" i="1" l="1"/>
  <c r="T12" i="1" l="1"/>
</calcChain>
</file>

<file path=xl/sharedStrings.xml><?xml version="1.0" encoding="utf-8"?>
<sst xmlns="http://schemas.openxmlformats.org/spreadsheetml/2006/main" count="140" uniqueCount="60">
  <si>
    <t>No</t>
  </si>
  <si>
    <t>Nama Relasi</t>
  </si>
  <si>
    <t>NPWP Relasi</t>
  </si>
  <si>
    <t>NIK Relasi</t>
  </si>
  <si>
    <t>Alamat Relasi</t>
  </si>
  <si>
    <t>No Nota</t>
  </si>
  <si>
    <t>No SJ</t>
  </si>
  <si>
    <t>No Invoice</t>
  </si>
  <si>
    <t>Deskripsi Barang</t>
  </si>
  <si>
    <t>Tonase</t>
  </si>
  <si>
    <t>Satuan</t>
  </si>
  <si>
    <t>Harga</t>
  </si>
  <si>
    <t>Harga Jual</t>
  </si>
  <si>
    <t>Dasar Pengenaan Pajak</t>
  </si>
  <si>
    <t>PPN</t>
  </si>
  <si>
    <t>Jumlah Dibayar</t>
  </si>
  <si>
    <t>-</t>
  </si>
  <si>
    <t>A.Yani No 342 RT 005 RW 009 Kel Kedungsari Kec Magelang Utara Kota/Kab. Magelang Jawa Tengah</t>
  </si>
  <si>
    <t>Dus</t>
  </si>
  <si>
    <t>CV. Sinar Sukses</t>
  </si>
  <si>
    <t>PT. Benfood Dinamika Sentosa</t>
  </si>
  <si>
    <t>Taman Tekno Bumi Serpong Damai Blok E3 No. 17 Kademangan Setu, Kota Tangerang Selatan 16434</t>
  </si>
  <si>
    <t>Tgl Nota</t>
  </si>
  <si>
    <t>Dasar Pengenaan Pajak Nilai Lain</t>
  </si>
  <si>
    <t>0747603769445000</t>
  </si>
  <si>
    <t>Ruko Lamargas Residence Jl. Raya Nanjung, R, 37, Margaasih, Margaasih, Kab. Bandung, Jawa Barat, 40351</t>
  </si>
  <si>
    <t>JS050260133</t>
  </si>
  <si>
    <t>042/INV/BW/V/2026</t>
  </si>
  <si>
    <t>Poptozz Puff Balado isi 6x10</t>
  </si>
  <si>
    <t>Poptozz Puff Jagung Bakar isi 6x10</t>
  </si>
  <si>
    <t>Makaro Balado isi 6x10</t>
  </si>
  <si>
    <t>Makaro BBQ isi 6x10</t>
  </si>
  <si>
    <t>Wafer Roll Chokoroll Chocolate (6Duplek/144pcs)</t>
  </si>
  <si>
    <t>Wafer Roll Chokoroll Vanilla (6Duplek/144pcs)</t>
  </si>
  <si>
    <t>Wafer Roll Chokoroll Strawberry (6Duplek/144pcs)</t>
  </si>
  <si>
    <t>0016473209402000</t>
  </si>
  <si>
    <t>JS050260141</t>
  </si>
  <si>
    <t>044/INV/BW/V/2026</t>
  </si>
  <si>
    <t>Pop Cornz Cem Cem Caramel 55Gr (30pcs)</t>
  </si>
  <si>
    <t>Pop Cornz Cem Cem Chocolate 55Gr (30pcs)</t>
  </si>
  <si>
    <t>0825220817526000</t>
  </si>
  <si>
    <t>Jl Dr. Rajiman 173 Jayengan, Serengan, Kota Surakarta, Jawa Tengah, 57152</t>
  </si>
  <si>
    <t>045/INV/BW/V/2026</t>
  </si>
  <si>
    <t>Afval</t>
  </si>
  <si>
    <t>0025393018524000</t>
  </si>
  <si>
    <t>JS050260150</t>
  </si>
  <si>
    <t>047/INV/BW/V/2026</t>
  </si>
  <si>
    <t>Larisst Pilus Balado 65g isi 50</t>
  </si>
  <si>
    <t>Larisst Pilus Keju 65g isi 50</t>
  </si>
  <si>
    <t>No PO</t>
  </si>
  <si>
    <t>(PO /26/0119)</t>
  </si>
  <si>
    <t>PO/SC/2605/0001</t>
  </si>
  <si>
    <t>042/SJ/BW/V/2026</t>
  </si>
  <si>
    <t>044/SJ/BW/V/2026</t>
  </si>
  <si>
    <t>045/SJ/BW/V/2026</t>
  </si>
  <si>
    <t>047/SJ/BW/V/2026</t>
  </si>
  <si>
    <t>Kg</t>
  </si>
  <si>
    <t>PT. Duta Bhumi Persada</t>
  </si>
  <si>
    <t>CV. Mitra Jaya Mandiri</t>
  </si>
  <si>
    <t>Bs Allowance 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</si>
</sst>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[$-409]dd\-mmm\-yy;@"/>
    <numFmt numFmtId="165" formatCode="_-* #,##0.00_-;\-* #,##0.00_-;_-* &quot;-&quot;_-;_-@_-"/>
    <numFmt numFmtId="166" formatCode="_(* #,##0.00_);_(* \(#,##0.00\);_(* &quot;-&quot;??_);_(@_)"/>
    <numFmt numFmtId="167" formatCode="_-[$Rp-3809]* #,##0.00_-;\-[$Rp-3809]* #,##0.00_-;_-[$Rp-3809]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 Narrow"/>
      <family val="2"/>
    </font>
    <font>
      <sz val="12"/>
      <name val="Arial Narrow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43" fontId="2" fillId="0" borderId="0" xfId="1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3" fillId="0" borderId="1" xfId="0" quotePrefix="1" applyFont="1" applyFill="1" applyBorder="1" applyAlignment="1">
      <alignment horizontal="left"/>
    </xf>
    <xf numFmtId="0" fontId="3" fillId="0" borderId="1" xfId="0" quotePrefix="1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 vertical="center"/>
    </xf>
    <xf numFmtId="165" fontId="3" fillId="0" borderId="1" xfId="2" applyNumberFormat="1" applyFont="1" applyFill="1" applyBorder="1"/>
    <xf numFmtId="44" fontId="3" fillId="0" borderId="1" xfId="2" applyNumberFormat="1" applyFont="1" applyFill="1" applyBorder="1"/>
    <xf numFmtId="0" fontId="4" fillId="0" borderId="0" xfId="0" applyFont="1" applyFill="1"/>
    <xf numFmtId="166" fontId="2" fillId="0" borderId="1" xfId="2" applyNumberFormat="1" applyFont="1" applyFill="1" applyBorder="1" applyAlignment="1">
      <alignment horizontal="center" vertical="center" wrapText="1"/>
    </xf>
    <xf numFmtId="167" fontId="2" fillId="0" borderId="1" xfId="2" applyNumberFormat="1" applyFont="1" applyFill="1" applyBorder="1" applyAlignment="1">
      <alignment horizontal="center" vertical="center" wrapText="1"/>
    </xf>
    <xf numFmtId="167" fontId="2" fillId="0" borderId="1" xfId="1" applyNumberFormat="1" applyFont="1" applyFill="1" applyBorder="1" applyAlignment="1">
      <alignment horizontal="center" vertical="center" wrapText="1"/>
    </xf>
    <xf numFmtId="0" fontId="3" fillId="0" borderId="0" xfId="0" applyFont="1" applyFill="1"/>
    <xf numFmtId="43" fontId="3" fillId="0" borderId="0" xfId="1" applyFont="1" applyFill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F61D5-1660-47F9-8276-145C59A417A8}">
  <dimension ref="A4:AD16"/>
  <sheetViews>
    <sheetView tabSelected="1" topLeftCell="J1" zoomScale="70" zoomScaleNormal="70" workbookViewId="0">
      <selection activeCell="F14" sqref="F14"/>
    </sheetView>
  </sheetViews>
  <sheetFormatPr defaultRowHeight="15" x14ac:dyDescent="0.25"/>
  <cols>
    <col min="1" max="1" width="6.7109375" style="11" customWidth="1"/>
    <col min="2" max="2" width="24.5703125" style="11" bestFit="1" customWidth="1"/>
    <col min="3" max="3" width="17.42578125" style="11" bestFit="1" customWidth="1"/>
    <col min="4" max="4" width="12" style="11" bestFit="1" customWidth="1"/>
    <col min="5" max="5" width="18.28515625" style="11" customWidth="1"/>
    <col min="6" max="6" width="12.28515625" style="11" bestFit="1" customWidth="1"/>
    <col min="7" max="7" width="12" style="11" customWidth="1"/>
    <col min="8" max="8" width="17.5703125" style="11" bestFit="1" customWidth="1"/>
    <col min="9" max="10" width="17.5703125" style="11" customWidth="1"/>
    <col min="11" max="11" width="44.5703125" style="11" bestFit="1" customWidth="1"/>
    <col min="12" max="12" width="10.28515625" style="11" bestFit="1" customWidth="1"/>
    <col min="13" max="13" width="10.28515625" style="11" customWidth="1"/>
    <col min="14" max="14" width="13.85546875" style="11" bestFit="1" customWidth="1"/>
    <col min="15" max="15" width="16.42578125" style="11" bestFit="1" customWidth="1"/>
    <col min="16" max="16" width="13.85546875" style="11" bestFit="1" customWidth="1"/>
    <col min="17" max="17" width="16.42578125" style="11" bestFit="1" customWidth="1"/>
    <col min="18" max="18" width="17.28515625" style="11" bestFit="1" customWidth="1"/>
    <col min="19" max="19" width="15.42578125" style="11" bestFit="1" customWidth="1"/>
    <col min="20" max="20" width="16.42578125" style="11" bestFit="1" customWidth="1"/>
    <col min="21" max="16384" width="9.140625" style="11"/>
  </cols>
  <sheetData>
    <row r="4" spans="1:30" s="2" customFormat="1" ht="35.25" customHeigh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22</v>
      </c>
      <c r="H4" s="1" t="s">
        <v>7</v>
      </c>
      <c r="I4" s="1" t="s">
        <v>49</v>
      </c>
      <c r="J4" s="1" t="s">
        <v>6</v>
      </c>
      <c r="K4" s="1" t="s">
        <v>8</v>
      </c>
      <c r="L4" s="12" t="s">
        <v>9</v>
      </c>
      <c r="M4" s="12" t="s">
        <v>10</v>
      </c>
      <c r="N4" s="13" t="s">
        <v>11</v>
      </c>
      <c r="O4" s="14" t="s">
        <v>12</v>
      </c>
      <c r="P4" s="14" t="s">
        <v>59</v>
      </c>
      <c r="Q4" s="14" t="s">
        <v>13</v>
      </c>
      <c r="R4" s="14" t="s">
        <v>23</v>
      </c>
      <c r="S4" s="14" t="s">
        <v>14</v>
      </c>
      <c r="T4" s="14" t="s">
        <v>15</v>
      </c>
      <c r="AB4" s="3"/>
    </row>
    <row r="5" spans="1:30" s="15" customFormat="1" ht="19.5" customHeight="1" x14ac:dyDescent="0.25">
      <c r="A5" s="4">
        <v>1</v>
      </c>
      <c r="B5" s="5" t="s">
        <v>19</v>
      </c>
      <c r="C5" s="7" t="s">
        <v>24</v>
      </c>
      <c r="D5" s="4" t="s">
        <v>16</v>
      </c>
      <c r="E5" s="5" t="s">
        <v>25</v>
      </c>
      <c r="F5" s="6" t="s">
        <v>26</v>
      </c>
      <c r="G5" s="8">
        <v>46160</v>
      </c>
      <c r="H5" s="7" t="s">
        <v>27</v>
      </c>
      <c r="I5" s="7" t="s">
        <v>16</v>
      </c>
      <c r="J5" s="7" t="s">
        <v>52</v>
      </c>
      <c r="K5" s="6" t="s">
        <v>28</v>
      </c>
      <c r="L5" s="9">
        <v>43</v>
      </c>
      <c r="M5" s="9" t="s">
        <v>18</v>
      </c>
      <c r="N5" s="10">
        <v>71459.459459459496</v>
      </c>
      <c r="O5" s="10">
        <f>ROUND(L5*N5,0)</f>
        <v>3072757</v>
      </c>
      <c r="P5" s="10">
        <v>0</v>
      </c>
      <c r="Q5" s="10">
        <f>+O5-P5</f>
        <v>3072757</v>
      </c>
      <c r="R5" s="10">
        <f>ROUND(11/12*Q5,0)</f>
        <v>2816694</v>
      </c>
      <c r="S5" s="10">
        <f>ROUND(12/100*R5,0)</f>
        <v>338003</v>
      </c>
      <c r="T5" s="10">
        <f>+Q5+S5</f>
        <v>3410760</v>
      </c>
      <c r="AD5" s="16"/>
    </row>
    <row r="6" spans="1:30" s="15" customFormat="1" ht="19.5" customHeight="1" x14ac:dyDescent="0.25">
      <c r="A6" s="4"/>
      <c r="B6" s="5" t="s">
        <v>19</v>
      </c>
      <c r="C6" s="7" t="s">
        <v>24</v>
      </c>
      <c r="D6" s="4" t="s">
        <v>16</v>
      </c>
      <c r="E6" s="5" t="s">
        <v>25</v>
      </c>
      <c r="F6" s="6" t="s">
        <v>26</v>
      </c>
      <c r="G6" s="8">
        <v>46160</v>
      </c>
      <c r="H6" s="7" t="s">
        <v>27</v>
      </c>
      <c r="I6" s="7" t="s">
        <v>16</v>
      </c>
      <c r="J6" s="7" t="s">
        <v>52</v>
      </c>
      <c r="K6" s="6" t="s">
        <v>29</v>
      </c>
      <c r="L6" s="9">
        <v>52</v>
      </c>
      <c r="M6" s="9" t="s">
        <v>18</v>
      </c>
      <c r="N6" s="10">
        <v>71459.459459459496</v>
      </c>
      <c r="O6" s="10">
        <f t="shared" ref="O6:O16" si="0">ROUND(L6*N6,0)</f>
        <v>3715892</v>
      </c>
      <c r="P6" s="10">
        <v>0</v>
      </c>
      <c r="Q6" s="10">
        <f t="shared" ref="Q6:Q16" si="1">+O6-P6</f>
        <v>3715892</v>
      </c>
      <c r="R6" s="10">
        <f t="shared" ref="R6:R16" si="2">ROUND(11/12*Q6,0)</f>
        <v>3406234</v>
      </c>
      <c r="S6" s="10">
        <f t="shared" ref="S6:S16" si="3">ROUND(12/100*R6,0)</f>
        <v>408748</v>
      </c>
      <c r="T6" s="10">
        <f t="shared" ref="T6:T16" si="4">+Q6+S6</f>
        <v>4124640</v>
      </c>
      <c r="AD6" s="16"/>
    </row>
    <row r="7" spans="1:30" s="15" customFormat="1" ht="19.5" customHeight="1" x14ac:dyDescent="0.25">
      <c r="A7" s="4"/>
      <c r="B7" s="5" t="s">
        <v>19</v>
      </c>
      <c r="C7" s="7" t="s">
        <v>24</v>
      </c>
      <c r="D7" s="4" t="s">
        <v>16</v>
      </c>
      <c r="E7" s="5" t="s">
        <v>25</v>
      </c>
      <c r="F7" s="6" t="s">
        <v>26</v>
      </c>
      <c r="G7" s="8">
        <v>46160</v>
      </c>
      <c r="H7" s="7" t="s">
        <v>27</v>
      </c>
      <c r="I7" s="7" t="s">
        <v>16</v>
      </c>
      <c r="J7" s="7" t="s">
        <v>52</v>
      </c>
      <c r="K7" s="6" t="s">
        <v>30</v>
      </c>
      <c r="L7" s="9">
        <v>74</v>
      </c>
      <c r="M7" s="9" t="s">
        <v>18</v>
      </c>
      <c r="N7" s="10">
        <v>71459.459459459496</v>
      </c>
      <c r="O7" s="10">
        <f t="shared" si="0"/>
        <v>5288000</v>
      </c>
      <c r="P7" s="10">
        <v>0</v>
      </c>
      <c r="Q7" s="10">
        <f t="shared" si="1"/>
        <v>5288000</v>
      </c>
      <c r="R7" s="10">
        <f t="shared" si="2"/>
        <v>4847333</v>
      </c>
      <c r="S7" s="10">
        <f t="shared" si="3"/>
        <v>581680</v>
      </c>
      <c r="T7" s="10">
        <f t="shared" si="4"/>
        <v>5869680</v>
      </c>
      <c r="AD7" s="16"/>
    </row>
    <row r="8" spans="1:30" s="15" customFormat="1" ht="19.5" customHeight="1" x14ac:dyDescent="0.25">
      <c r="A8" s="4"/>
      <c r="B8" s="5" t="s">
        <v>19</v>
      </c>
      <c r="C8" s="7" t="s">
        <v>24</v>
      </c>
      <c r="D8" s="4" t="s">
        <v>16</v>
      </c>
      <c r="E8" s="5" t="s">
        <v>25</v>
      </c>
      <c r="F8" s="6" t="s">
        <v>26</v>
      </c>
      <c r="G8" s="8">
        <v>46160</v>
      </c>
      <c r="H8" s="7" t="s">
        <v>27</v>
      </c>
      <c r="I8" s="7" t="s">
        <v>16</v>
      </c>
      <c r="J8" s="7" t="s">
        <v>52</v>
      </c>
      <c r="K8" s="6" t="s">
        <v>31</v>
      </c>
      <c r="L8" s="9">
        <v>75</v>
      </c>
      <c r="M8" s="9" t="s">
        <v>18</v>
      </c>
      <c r="N8" s="10">
        <v>71459.459459459496</v>
      </c>
      <c r="O8" s="10">
        <f t="shared" si="0"/>
        <v>5359459</v>
      </c>
      <c r="P8" s="10">
        <v>0</v>
      </c>
      <c r="Q8" s="10">
        <f t="shared" si="1"/>
        <v>5359459</v>
      </c>
      <c r="R8" s="10">
        <f t="shared" si="2"/>
        <v>4912837</v>
      </c>
      <c r="S8" s="10">
        <f>ROUND(12/100*R8,0)+1</f>
        <v>589541</v>
      </c>
      <c r="T8" s="10">
        <f t="shared" si="4"/>
        <v>5949000</v>
      </c>
      <c r="AD8" s="16"/>
    </row>
    <row r="9" spans="1:30" s="15" customFormat="1" ht="19.5" customHeight="1" x14ac:dyDescent="0.25">
      <c r="A9" s="4"/>
      <c r="B9" s="5" t="s">
        <v>19</v>
      </c>
      <c r="C9" s="7" t="s">
        <v>24</v>
      </c>
      <c r="D9" s="4" t="s">
        <v>16</v>
      </c>
      <c r="E9" s="5" t="s">
        <v>25</v>
      </c>
      <c r="F9" s="6" t="s">
        <v>26</v>
      </c>
      <c r="G9" s="8">
        <v>46160</v>
      </c>
      <c r="H9" s="7" t="s">
        <v>27</v>
      </c>
      <c r="I9" s="7" t="s">
        <v>16</v>
      </c>
      <c r="J9" s="7" t="s">
        <v>52</v>
      </c>
      <c r="K9" s="6" t="s">
        <v>32</v>
      </c>
      <c r="L9" s="9">
        <v>487</v>
      </c>
      <c r="M9" s="9" t="s">
        <v>18</v>
      </c>
      <c r="N9" s="10">
        <v>43200</v>
      </c>
      <c r="O9" s="10">
        <f t="shared" si="0"/>
        <v>21038400</v>
      </c>
      <c r="P9" s="10">
        <v>0</v>
      </c>
      <c r="Q9" s="10">
        <f t="shared" si="1"/>
        <v>21038400</v>
      </c>
      <c r="R9" s="10">
        <f t="shared" si="2"/>
        <v>19285200</v>
      </c>
      <c r="S9" s="10">
        <f t="shared" si="3"/>
        <v>2314224</v>
      </c>
      <c r="T9" s="10">
        <f t="shared" si="4"/>
        <v>23352624</v>
      </c>
      <c r="AD9" s="16"/>
    </row>
    <row r="10" spans="1:30" s="15" customFormat="1" ht="19.5" customHeight="1" x14ac:dyDescent="0.25">
      <c r="A10" s="4"/>
      <c r="B10" s="5" t="s">
        <v>19</v>
      </c>
      <c r="C10" s="7" t="s">
        <v>24</v>
      </c>
      <c r="D10" s="4" t="s">
        <v>16</v>
      </c>
      <c r="E10" s="5" t="s">
        <v>25</v>
      </c>
      <c r="F10" s="6" t="s">
        <v>26</v>
      </c>
      <c r="G10" s="8">
        <v>46160</v>
      </c>
      <c r="H10" s="7" t="s">
        <v>27</v>
      </c>
      <c r="I10" s="7" t="s">
        <v>16</v>
      </c>
      <c r="J10" s="7" t="s">
        <v>52</v>
      </c>
      <c r="K10" s="6" t="s">
        <v>33</v>
      </c>
      <c r="L10" s="9">
        <v>44</v>
      </c>
      <c r="M10" s="9" t="s">
        <v>18</v>
      </c>
      <c r="N10" s="10">
        <v>43200</v>
      </c>
      <c r="O10" s="10">
        <f t="shared" si="0"/>
        <v>1900800</v>
      </c>
      <c r="P10" s="10">
        <v>0</v>
      </c>
      <c r="Q10" s="10">
        <f t="shared" si="1"/>
        <v>1900800</v>
      </c>
      <c r="R10" s="10">
        <f t="shared" si="2"/>
        <v>1742400</v>
      </c>
      <c r="S10" s="10">
        <f t="shared" si="3"/>
        <v>209088</v>
      </c>
      <c r="T10" s="10">
        <f t="shared" si="4"/>
        <v>2109888</v>
      </c>
      <c r="AD10" s="16"/>
    </row>
    <row r="11" spans="1:30" s="15" customFormat="1" ht="19.5" customHeight="1" x14ac:dyDescent="0.25">
      <c r="A11" s="4"/>
      <c r="B11" s="5" t="s">
        <v>19</v>
      </c>
      <c r="C11" s="7" t="s">
        <v>24</v>
      </c>
      <c r="D11" s="4" t="s">
        <v>16</v>
      </c>
      <c r="E11" s="5" t="s">
        <v>25</v>
      </c>
      <c r="F11" s="6" t="s">
        <v>26</v>
      </c>
      <c r="G11" s="8">
        <v>46160</v>
      </c>
      <c r="H11" s="7" t="s">
        <v>27</v>
      </c>
      <c r="I11" s="7" t="s">
        <v>16</v>
      </c>
      <c r="J11" s="7" t="s">
        <v>52</v>
      </c>
      <c r="K11" s="6" t="s">
        <v>34</v>
      </c>
      <c r="L11" s="9">
        <v>275</v>
      </c>
      <c r="M11" s="9" t="s">
        <v>18</v>
      </c>
      <c r="N11" s="10">
        <v>43200</v>
      </c>
      <c r="O11" s="10">
        <f t="shared" si="0"/>
        <v>11880000</v>
      </c>
      <c r="P11" s="10">
        <v>0</v>
      </c>
      <c r="Q11" s="10">
        <f t="shared" si="1"/>
        <v>11880000</v>
      </c>
      <c r="R11" s="10">
        <f t="shared" si="2"/>
        <v>10890000</v>
      </c>
      <c r="S11" s="10">
        <f t="shared" si="3"/>
        <v>1306800</v>
      </c>
      <c r="T11" s="10">
        <f t="shared" si="4"/>
        <v>13186800</v>
      </c>
      <c r="AD11" s="16"/>
    </row>
    <row r="12" spans="1:30" s="15" customFormat="1" ht="19.5" customHeight="1" x14ac:dyDescent="0.25">
      <c r="A12" s="4">
        <v>2</v>
      </c>
      <c r="B12" s="5" t="s">
        <v>20</v>
      </c>
      <c r="C12" s="7" t="s">
        <v>35</v>
      </c>
      <c r="D12" s="4" t="s">
        <v>16</v>
      </c>
      <c r="E12" s="5" t="s">
        <v>21</v>
      </c>
      <c r="F12" s="6" t="s">
        <v>36</v>
      </c>
      <c r="G12" s="8">
        <v>46160</v>
      </c>
      <c r="H12" s="7" t="s">
        <v>37</v>
      </c>
      <c r="I12" s="7" t="s">
        <v>51</v>
      </c>
      <c r="J12" s="7" t="s">
        <v>53</v>
      </c>
      <c r="K12" s="6" t="s">
        <v>38</v>
      </c>
      <c r="L12" s="9">
        <v>600</v>
      </c>
      <c r="M12" s="9" t="s">
        <v>18</v>
      </c>
      <c r="N12" s="10">
        <v>111111.11111111099</v>
      </c>
      <c r="O12" s="10">
        <f>ROUND(L12*N12,0)-1</f>
        <v>66666666</v>
      </c>
      <c r="P12" s="10">
        <f>ROUND(1/100*O12,0)</f>
        <v>666667</v>
      </c>
      <c r="Q12" s="10">
        <f t="shared" si="1"/>
        <v>65999999</v>
      </c>
      <c r="R12" s="10">
        <f t="shared" si="2"/>
        <v>60499999</v>
      </c>
      <c r="S12" s="10">
        <f t="shared" si="3"/>
        <v>7260000</v>
      </c>
      <c r="T12" s="10">
        <f t="shared" si="4"/>
        <v>73259999</v>
      </c>
      <c r="AD12" s="16"/>
    </row>
    <row r="13" spans="1:30" s="15" customFormat="1" ht="19.5" customHeight="1" x14ac:dyDescent="0.25">
      <c r="A13" s="4"/>
      <c r="B13" s="5" t="s">
        <v>20</v>
      </c>
      <c r="C13" s="7" t="s">
        <v>35</v>
      </c>
      <c r="D13" s="4" t="s">
        <v>16</v>
      </c>
      <c r="E13" s="5" t="s">
        <v>21</v>
      </c>
      <c r="F13" s="6" t="s">
        <v>36</v>
      </c>
      <c r="G13" s="8">
        <v>46160</v>
      </c>
      <c r="H13" s="7" t="s">
        <v>37</v>
      </c>
      <c r="I13" s="7" t="s">
        <v>51</v>
      </c>
      <c r="J13" s="7" t="s">
        <v>53</v>
      </c>
      <c r="K13" s="6" t="s">
        <v>39</v>
      </c>
      <c r="L13" s="9">
        <v>400</v>
      </c>
      <c r="M13" s="9" t="s">
        <v>18</v>
      </c>
      <c r="N13" s="10">
        <v>111111.11111111099</v>
      </c>
      <c r="O13" s="10">
        <f t="shared" si="0"/>
        <v>44444444</v>
      </c>
      <c r="P13" s="10">
        <f>ROUND(1/100*O13,0)</f>
        <v>444444</v>
      </c>
      <c r="Q13" s="10">
        <f t="shared" si="1"/>
        <v>44000000</v>
      </c>
      <c r="R13" s="10">
        <f t="shared" si="2"/>
        <v>40333333</v>
      </c>
      <c r="S13" s="10">
        <f t="shared" si="3"/>
        <v>4840000</v>
      </c>
      <c r="T13" s="10">
        <f t="shared" si="4"/>
        <v>48840000</v>
      </c>
      <c r="AD13" s="16"/>
    </row>
    <row r="14" spans="1:30" s="15" customFormat="1" ht="19.5" customHeight="1" x14ac:dyDescent="0.25">
      <c r="A14" s="4">
        <v>3</v>
      </c>
      <c r="B14" s="5" t="s">
        <v>57</v>
      </c>
      <c r="C14" s="7" t="s">
        <v>40</v>
      </c>
      <c r="D14" s="4" t="s">
        <v>16</v>
      </c>
      <c r="E14" s="5" t="s">
        <v>41</v>
      </c>
      <c r="F14" s="6" t="s">
        <v>16</v>
      </c>
      <c r="G14" s="8">
        <v>46160</v>
      </c>
      <c r="H14" s="7" t="s">
        <v>42</v>
      </c>
      <c r="I14" s="7" t="s">
        <v>50</v>
      </c>
      <c r="J14" s="7" t="s">
        <v>54</v>
      </c>
      <c r="K14" s="6" t="s">
        <v>43</v>
      </c>
      <c r="L14" s="9">
        <v>11844</v>
      </c>
      <c r="M14" s="9" t="s">
        <v>56</v>
      </c>
      <c r="N14" s="10">
        <v>2550</v>
      </c>
      <c r="O14" s="10">
        <f t="shared" si="0"/>
        <v>30202200</v>
      </c>
      <c r="P14" s="10">
        <v>0</v>
      </c>
      <c r="Q14" s="10">
        <f t="shared" si="1"/>
        <v>30202200</v>
      </c>
      <c r="R14" s="10">
        <f t="shared" si="2"/>
        <v>27685350</v>
      </c>
      <c r="S14" s="10">
        <f t="shared" si="3"/>
        <v>3322242</v>
      </c>
      <c r="T14" s="10">
        <f t="shared" si="4"/>
        <v>33524442</v>
      </c>
      <c r="AD14" s="16"/>
    </row>
    <row r="15" spans="1:30" s="15" customFormat="1" ht="19.5" customHeight="1" x14ac:dyDescent="0.25">
      <c r="A15" s="4">
        <v>4</v>
      </c>
      <c r="B15" s="5" t="s">
        <v>58</v>
      </c>
      <c r="C15" s="7" t="s">
        <v>44</v>
      </c>
      <c r="D15" s="4" t="s">
        <v>16</v>
      </c>
      <c r="E15" s="5" t="s">
        <v>17</v>
      </c>
      <c r="F15" s="6" t="s">
        <v>45</v>
      </c>
      <c r="G15" s="8">
        <v>46161</v>
      </c>
      <c r="H15" s="7" t="s">
        <v>46</v>
      </c>
      <c r="I15" s="7" t="s">
        <v>16</v>
      </c>
      <c r="J15" s="7" t="s">
        <v>55</v>
      </c>
      <c r="K15" s="6" t="s">
        <v>47</v>
      </c>
      <c r="L15" s="9">
        <v>22</v>
      </c>
      <c r="M15" s="9" t="s">
        <v>18</v>
      </c>
      <c r="N15" s="10">
        <v>123828.82882882901</v>
      </c>
      <c r="O15" s="10">
        <f t="shared" si="0"/>
        <v>2724234</v>
      </c>
      <c r="P15" s="10">
        <v>0</v>
      </c>
      <c r="Q15" s="10">
        <f t="shared" si="1"/>
        <v>2724234</v>
      </c>
      <c r="R15" s="10">
        <f t="shared" si="2"/>
        <v>2497215</v>
      </c>
      <c r="S15" s="10">
        <f t="shared" si="3"/>
        <v>299666</v>
      </c>
      <c r="T15" s="10">
        <f t="shared" si="4"/>
        <v>3023900</v>
      </c>
      <c r="AD15" s="16"/>
    </row>
    <row r="16" spans="1:30" s="15" customFormat="1" ht="19.5" customHeight="1" x14ac:dyDescent="0.25">
      <c r="A16" s="4"/>
      <c r="B16" s="5" t="s">
        <v>58</v>
      </c>
      <c r="C16" s="7" t="s">
        <v>44</v>
      </c>
      <c r="D16" s="4" t="s">
        <v>16</v>
      </c>
      <c r="E16" s="5" t="s">
        <v>17</v>
      </c>
      <c r="F16" s="6" t="s">
        <v>45</v>
      </c>
      <c r="G16" s="8">
        <v>46161</v>
      </c>
      <c r="H16" s="7" t="s">
        <v>46</v>
      </c>
      <c r="I16" s="7" t="s">
        <v>16</v>
      </c>
      <c r="J16" s="7" t="s">
        <v>55</v>
      </c>
      <c r="K16" s="6" t="s">
        <v>48</v>
      </c>
      <c r="L16" s="9">
        <v>100</v>
      </c>
      <c r="M16" s="9" t="s">
        <v>18</v>
      </c>
      <c r="N16" s="10">
        <v>123828.82882882901</v>
      </c>
      <c r="O16" s="10">
        <f t="shared" si="0"/>
        <v>12382883</v>
      </c>
      <c r="P16" s="10">
        <v>0</v>
      </c>
      <c r="Q16" s="10">
        <f t="shared" si="1"/>
        <v>12382883</v>
      </c>
      <c r="R16" s="10">
        <f t="shared" si="2"/>
        <v>11350976</v>
      </c>
      <c r="S16" s="10">
        <f t="shared" si="3"/>
        <v>1362117</v>
      </c>
      <c r="T16" s="10">
        <f t="shared" si="4"/>
        <v>13745000</v>
      </c>
      <c r="AD16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Administrator</cp:lastModifiedBy>
  <dcterms:created xsi:type="dcterms:W3CDTF">2026-05-14T18:16:57Z</dcterms:created>
  <dcterms:modified xsi:type="dcterms:W3CDTF">2026-10-02T09:26:51Z</dcterms:modified>
</cp:coreProperties>
</file>